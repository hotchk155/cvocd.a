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vocd.a\cvocd_banana\"/>
    </mc:Choice>
  </mc:AlternateContent>
  <xr:revisionPtr revIDLastSave="0" documentId="13_ncr:1_{B00B9C28-E884-4202-B9EA-D4676183CDFB}" xr6:coauthVersionLast="47" xr6:coauthVersionMax="47" xr10:uidLastSave="{00000000-0000-0000-0000-000000000000}"/>
  <bookViews>
    <workbookView xWindow="810" yWindow="75" windowWidth="19665" windowHeight="14925" xr2:uid="{2C8AAADC-D111-4438-BA7C-E72327EBC99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2" l="1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<sst xmlns="http://schemas.openxmlformats.org/spreadsheetml/2006/main" count="99" uniqueCount="86">
  <si>
    <t>PUSH BUTTON</t>
  </si>
  <si>
    <t>POWER SOCKET</t>
  </si>
  <si>
    <t>Designator</t>
  </si>
  <si>
    <t>Footprint</t>
  </si>
  <si>
    <t>Quantity</t>
  </si>
  <si>
    <t>Designation</t>
  </si>
  <si>
    <t>1k</t>
  </si>
  <si>
    <t>100n</t>
  </si>
  <si>
    <t>R39</t>
  </si>
  <si>
    <t>3K3</t>
  </si>
  <si>
    <t>L1</t>
  </si>
  <si>
    <t>SW_SP3T</t>
  </si>
  <si>
    <t>IC5</t>
  </si>
  <si>
    <t>IC7</t>
  </si>
  <si>
    <t>R37</t>
  </si>
  <si>
    <t>2k</t>
  </si>
  <si>
    <t>R36</t>
  </si>
  <si>
    <t>22k</t>
  </si>
  <si>
    <t>SW4</t>
  </si>
  <si>
    <t>SW_SPDT</t>
  </si>
  <si>
    <t>Q2,Q1,Q4,Q3</t>
  </si>
  <si>
    <t>SOT-23</t>
  </si>
  <si>
    <t>2N7002</t>
  </si>
  <si>
    <t>IC6</t>
  </si>
  <si>
    <t>SOT-23-5</t>
  </si>
  <si>
    <t>R25,R27,R29,R31</t>
  </si>
  <si>
    <t>4k7</t>
  </si>
  <si>
    <t>L2</t>
  </si>
  <si>
    <t>R38</t>
  </si>
  <si>
    <t>IC4</t>
  </si>
  <si>
    <t>Banana Red</t>
  </si>
  <si>
    <t>Banana Blue</t>
  </si>
  <si>
    <t>Banana Black</t>
  </si>
  <si>
    <t>LSTATUS1</t>
  </si>
  <si>
    <t>LMIDI1</t>
  </si>
  <si>
    <t>LED RED</t>
  </si>
  <si>
    <t>LED YELLOW</t>
  </si>
  <si>
    <t>LED BLUE</t>
  </si>
  <si>
    <t>10n</t>
  </si>
  <si>
    <t>C0805</t>
  </si>
  <si>
    <t>C24, C25</t>
  </si>
  <si>
    <t>1uF</t>
  </si>
  <si>
    <t>TYS4012100M-10</t>
  </si>
  <si>
    <t>CM322522-1R0KL</t>
  </si>
  <si>
    <t>470R</t>
  </si>
  <si>
    <t>R0805</t>
  </si>
  <si>
    <t>R40</t>
  </si>
  <si>
    <t>10k</t>
  </si>
  <si>
    <t>R1, R2, R3, R4 R5, R6, R7, R8, R9, R10, R11, R12, R13, R14, R15, R16, R17, R18, R19, R20, R21, R22, R23, R24, R26, R28, R30, R32, R33, R34, R35</t>
  </si>
  <si>
    <t>C1, C2, C7, C8, C13, C14, C19, C20, C21, C27, C28</t>
  </si>
  <si>
    <t>MBR0520LT</t>
  </si>
  <si>
    <t>SOD123</t>
  </si>
  <si>
    <t>D0805</t>
  </si>
  <si>
    <t>3258 Reverse Mount</t>
  </si>
  <si>
    <t>GT1, GT2, GT3, GT4, GT5, GT6, GT7, GT8, GT9, GT10, GT11, GT12</t>
  </si>
  <si>
    <t>CVA, CVB, CVC, CVD</t>
  </si>
  <si>
    <t>GND</t>
  </si>
  <si>
    <t>IC3, IC1, IC2</t>
  </si>
  <si>
    <t>SW1, SW2, SW3</t>
  </si>
  <si>
    <t>SOT223</t>
  </si>
  <si>
    <t>MIDI SOCKET</t>
  </si>
  <si>
    <t>D5, D6, D7, D8, D9</t>
  </si>
  <si>
    <t>D1, D2, D3, D4</t>
  </si>
  <si>
    <t>LCV1, LCV2, LCV3, LCV4, LG1, LG2, LG3, LG4, LG5, LG6, LG7, LG8, LG9, LG10, LG11, LG12, LPOWER</t>
  </si>
  <si>
    <t>C22, C23, C26, C29</t>
  </si>
  <si>
    <t>C3, C4, C5, C6, C9, C10, C11, C12, C15, C16, C17, C18</t>
  </si>
  <si>
    <t>CL-SB-12B-01T</t>
  </si>
  <si>
    <t>CL-SB-13B-02T</t>
  </si>
  <si>
    <t>LM317MBSTT3G</t>
  </si>
  <si>
    <t>AP3012KTR-E1</t>
  </si>
  <si>
    <t>TLV76150DCYR</t>
  </si>
  <si>
    <t>LM324BIDR</t>
  </si>
  <si>
    <t>SOIC14</t>
  </si>
  <si>
    <t>MC14504BDR2G</t>
  </si>
  <si>
    <t>108-0902-001</t>
  </si>
  <si>
    <t>SOIC16</t>
  </si>
  <si>
    <t>108-0910-001</t>
  </si>
  <si>
    <t>108-0903-001</t>
  </si>
  <si>
    <t>BZY55B5V1 RBG</t>
  </si>
  <si>
    <t>TAJD107K020SNTV</t>
  </si>
  <si>
    <t>D CASE</t>
  </si>
  <si>
    <t>CL21B105KAFNNNG</t>
  </si>
  <si>
    <t>100uF</t>
  </si>
  <si>
    <t>Spacer</t>
  </si>
  <si>
    <t>M3 20mm F/F</t>
  </si>
  <si>
    <t>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</si>
</sst>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A404-31BB-4D1D-8DCE-A1B2F31617CC}">
  <dimension ref="A1:H35"/>
  <sheetViews>
    <sheetView tabSelected="1" workbookViewId="0">
      <selection activeCell="A21" sqref="A21"/>
    </sheetView>
  </sheetViews>
  <sheetFormatPr defaultRowHeight="15" x14ac:dyDescent="0.25"/>
  <cols>
    <col min="1" max="1" width="120.7109375" customWidth="1"/>
    <col min="2" max="2" width="6.5703125" customWidth="1"/>
    <col min="3" max="3" width="11.140625" customWidth="1"/>
    <col min="4" max="4" width="5.85546875" customWidth="1"/>
    <col min="5" max="5" width="33" customWidth="1"/>
    <col min="6" max="6" width="9.42578125" customWidth="1"/>
  </cols>
  <sheetData>
    <row r="1" spans="1:8" x14ac:dyDescent="0.25">
      <c r="A1" t="s">
        <v>2</v>
      </c>
      <c r="B1" t="s">
        <v>3</v>
      </c>
      <c r="D1" t="s">
        <v>4</v>
      </c>
      <c r="E1" t="s">
        <v>5</v>
      </c>
      <c r="F1" s="1">
        <v>50</v>
      </c>
      <c r="H1" t="s">
        <v>85</v>
      </c>
    </row>
    <row r="2" spans="1:8" s="2" customFormat="1" x14ac:dyDescent="0.25">
      <c r="A2" s="2" t="s">
        <v>49</v>
      </c>
      <c r="B2" s="2" t="s">
        <v>39</v>
      </c>
      <c r="C2" s="2" t="s">
        <v>7</v>
      </c>
      <c r="D2" s="2">
        <v>12</v>
      </c>
      <c r="E2" s="2" t="s">
        <v>7</v>
      </c>
      <c r="F2" s="2">
        <f>$F$1*D2</f>
        <v>600</v>
      </c>
      <c r="G2" s="2">
        <v>0.02</v>
      </c>
      <c r="H2" s="2">
        <f>D2*G2</f>
        <v>0.24</v>
      </c>
    </row>
    <row r="3" spans="1:8" x14ac:dyDescent="0.25">
      <c r="A3" t="s">
        <v>64</v>
      </c>
      <c r="B3" t="s">
        <v>80</v>
      </c>
      <c r="C3" t="s">
        <v>82</v>
      </c>
      <c r="D3">
        <v>4</v>
      </c>
      <c r="E3" t="s">
        <v>79</v>
      </c>
      <c r="F3">
        <f t="shared" ref="F3:F34" si="0">$F$1*D3</f>
        <v>200</v>
      </c>
      <c r="G3">
        <v>0.43</v>
      </c>
      <c r="H3">
        <f t="shared" ref="H3:H34" si="1">D3*G3</f>
        <v>1.72</v>
      </c>
    </row>
    <row r="4" spans="1:8" s="2" customFormat="1" x14ac:dyDescent="0.25">
      <c r="A4" s="2" t="s">
        <v>40</v>
      </c>
      <c r="B4" s="2" t="s">
        <v>39</v>
      </c>
      <c r="C4" s="2" t="s">
        <v>41</v>
      </c>
      <c r="D4" s="2">
        <v>2</v>
      </c>
      <c r="E4" s="2" t="s">
        <v>81</v>
      </c>
      <c r="F4" s="2">
        <f t="shared" si="0"/>
        <v>100</v>
      </c>
      <c r="G4" s="2">
        <v>0.02</v>
      </c>
      <c r="H4" s="2">
        <f t="shared" si="1"/>
        <v>0.04</v>
      </c>
    </row>
    <row r="5" spans="1:8" x14ac:dyDescent="0.25">
      <c r="A5" t="s">
        <v>65</v>
      </c>
      <c r="B5" t="s">
        <v>39</v>
      </c>
      <c r="C5" t="s">
        <v>38</v>
      </c>
      <c r="D5">
        <v>12</v>
      </c>
      <c r="E5" t="s">
        <v>38</v>
      </c>
      <c r="F5">
        <f t="shared" si="0"/>
        <v>600</v>
      </c>
      <c r="G5">
        <v>0.2</v>
      </c>
      <c r="H5">
        <f t="shared" si="1"/>
        <v>2.4000000000000004</v>
      </c>
    </row>
    <row r="6" spans="1:8" s="3" customFormat="1" x14ac:dyDescent="0.25">
      <c r="A6" s="3" t="s">
        <v>55</v>
      </c>
      <c r="B6" s="3" t="s">
        <v>76</v>
      </c>
      <c r="D6" s="3">
        <v>4</v>
      </c>
      <c r="E6" s="3" t="s">
        <v>31</v>
      </c>
      <c r="F6" s="3">
        <f t="shared" si="0"/>
        <v>200</v>
      </c>
      <c r="G6" s="3">
        <v>0.68</v>
      </c>
      <c r="H6" s="3">
        <f t="shared" si="1"/>
        <v>2.72</v>
      </c>
    </row>
    <row r="7" spans="1:8" s="3" customFormat="1" x14ac:dyDescent="0.25">
      <c r="A7" s="3" t="s">
        <v>62</v>
      </c>
      <c r="B7" s="3" t="s">
        <v>52</v>
      </c>
      <c r="D7" s="3">
        <v>4</v>
      </c>
      <c r="E7" s="3" t="s">
        <v>78</v>
      </c>
      <c r="F7" s="3">
        <f t="shared" si="0"/>
        <v>200</v>
      </c>
      <c r="G7" s="3">
        <v>0.1</v>
      </c>
      <c r="H7" s="3">
        <f t="shared" si="1"/>
        <v>0.4</v>
      </c>
    </row>
    <row r="8" spans="1:8" x14ac:dyDescent="0.25">
      <c r="A8" t="s">
        <v>61</v>
      </c>
      <c r="B8" t="s">
        <v>51</v>
      </c>
      <c r="D8">
        <v>5</v>
      </c>
      <c r="E8" t="s">
        <v>50</v>
      </c>
      <c r="F8">
        <f t="shared" si="0"/>
        <v>250</v>
      </c>
      <c r="G8">
        <v>0.09</v>
      </c>
      <c r="H8">
        <f t="shared" si="1"/>
        <v>0.44999999999999996</v>
      </c>
    </row>
    <row r="9" spans="1:8" s="3" customFormat="1" x14ac:dyDescent="0.25">
      <c r="A9" s="3" t="s">
        <v>56</v>
      </c>
      <c r="B9" s="3" t="s">
        <v>77</v>
      </c>
      <c r="D9" s="3">
        <v>1</v>
      </c>
      <c r="E9" s="3" t="s">
        <v>32</v>
      </c>
      <c r="F9" s="3">
        <f t="shared" si="0"/>
        <v>50</v>
      </c>
      <c r="G9" s="3">
        <v>0.68</v>
      </c>
      <c r="H9" s="3">
        <f t="shared" si="1"/>
        <v>0.68</v>
      </c>
    </row>
    <row r="10" spans="1:8" s="3" customFormat="1" x14ac:dyDescent="0.25">
      <c r="A10" s="3" t="s">
        <v>54</v>
      </c>
      <c r="B10" s="3" t="s">
        <v>74</v>
      </c>
      <c r="D10" s="3">
        <v>12</v>
      </c>
      <c r="E10" s="3" t="s">
        <v>30</v>
      </c>
      <c r="F10" s="3">
        <f t="shared" si="0"/>
        <v>600</v>
      </c>
      <c r="G10" s="3">
        <v>0.65</v>
      </c>
      <c r="H10" s="3">
        <f t="shared" si="1"/>
        <v>7.8000000000000007</v>
      </c>
    </row>
    <row r="11" spans="1:8" s="4" customFormat="1" x14ac:dyDescent="0.25">
      <c r="A11" s="4" t="s">
        <v>57</v>
      </c>
      <c r="B11" s="4" t="s">
        <v>75</v>
      </c>
      <c r="D11" s="4">
        <v>3</v>
      </c>
      <c r="E11" s="4" t="s">
        <v>73</v>
      </c>
      <c r="F11" s="4">
        <f t="shared" si="0"/>
        <v>150</v>
      </c>
      <c r="G11" s="4">
        <v>0.3</v>
      </c>
      <c r="H11" s="4">
        <f t="shared" si="1"/>
        <v>0.89999999999999991</v>
      </c>
    </row>
    <row r="12" spans="1:8" s="4" customFormat="1" x14ac:dyDescent="0.25">
      <c r="A12" s="4" t="s">
        <v>29</v>
      </c>
      <c r="B12" s="4" t="s">
        <v>72</v>
      </c>
      <c r="D12" s="4">
        <v>1</v>
      </c>
      <c r="E12" s="4" t="s">
        <v>71</v>
      </c>
      <c r="F12" s="4">
        <f t="shared" si="0"/>
        <v>50</v>
      </c>
      <c r="G12" s="4">
        <v>0.12</v>
      </c>
      <c r="H12" s="4">
        <f t="shared" si="1"/>
        <v>0.12</v>
      </c>
    </row>
    <row r="13" spans="1:8" s="2" customFormat="1" x14ac:dyDescent="0.25">
      <c r="A13" s="2" t="s">
        <v>12</v>
      </c>
      <c r="B13" s="2" t="s">
        <v>59</v>
      </c>
      <c r="D13" s="2">
        <v>1</v>
      </c>
      <c r="E13" s="2" t="s">
        <v>70</v>
      </c>
      <c r="F13" s="2">
        <f t="shared" si="0"/>
        <v>50</v>
      </c>
      <c r="G13" s="2">
        <v>0.23</v>
      </c>
      <c r="H13" s="2">
        <f t="shared" si="1"/>
        <v>0.23</v>
      </c>
    </row>
    <row r="14" spans="1:8" s="2" customFormat="1" x14ac:dyDescent="0.25">
      <c r="A14" s="2" t="s">
        <v>23</v>
      </c>
      <c r="B14" s="2" t="s">
        <v>24</v>
      </c>
      <c r="D14" s="2">
        <v>1</v>
      </c>
      <c r="E14" s="2" t="s">
        <v>69</v>
      </c>
      <c r="F14" s="2">
        <f t="shared" si="0"/>
        <v>50</v>
      </c>
      <c r="G14" s="2">
        <v>0.25</v>
      </c>
      <c r="H14" s="2">
        <f t="shared" si="1"/>
        <v>0.25</v>
      </c>
    </row>
    <row r="15" spans="1:8" s="4" customFormat="1" x14ac:dyDescent="0.25">
      <c r="A15" s="4" t="s">
        <v>13</v>
      </c>
      <c r="B15" s="4" t="s">
        <v>59</v>
      </c>
      <c r="D15" s="4">
        <v>1</v>
      </c>
      <c r="E15" s="4" t="s">
        <v>68</v>
      </c>
      <c r="F15" s="4">
        <f t="shared" si="0"/>
        <v>50</v>
      </c>
      <c r="G15" s="4">
        <v>0.2</v>
      </c>
      <c r="H15" s="4">
        <f t="shared" si="1"/>
        <v>0.2</v>
      </c>
    </row>
    <row r="16" spans="1:8" s="2" customFormat="1" x14ac:dyDescent="0.25">
      <c r="A16" s="2" t="s">
        <v>10</v>
      </c>
      <c r="D16" s="2">
        <v>1</v>
      </c>
      <c r="E16" s="2" t="s">
        <v>42</v>
      </c>
      <c r="F16" s="2">
        <f t="shared" si="0"/>
        <v>50</v>
      </c>
      <c r="G16" s="2">
        <v>0.28999999999999998</v>
      </c>
      <c r="H16" s="2">
        <f t="shared" si="1"/>
        <v>0.28999999999999998</v>
      </c>
    </row>
    <row r="17" spans="1:8" s="2" customFormat="1" x14ac:dyDescent="0.25">
      <c r="A17" s="2" t="s">
        <v>27</v>
      </c>
      <c r="D17" s="2">
        <v>1</v>
      </c>
      <c r="E17" s="2" t="s">
        <v>43</v>
      </c>
      <c r="F17" s="2">
        <f t="shared" si="0"/>
        <v>50</v>
      </c>
      <c r="G17" s="2">
        <v>0.15</v>
      </c>
      <c r="H17" s="2">
        <f t="shared" si="1"/>
        <v>0.15</v>
      </c>
    </row>
    <row r="18" spans="1:8" x14ac:dyDescent="0.25">
      <c r="A18" t="s">
        <v>63</v>
      </c>
      <c r="B18" t="s">
        <v>53</v>
      </c>
      <c r="D18">
        <v>17</v>
      </c>
      <c r="E18" t="s">
        <v>35</v>
      </c>
      <c r="F18">
        <f t="shared" si="0"/>
        <v>850</v>
      </c>
      <c r="G18">
        <v>0.06</v>
      </c>
      <c r="H18">
        <f t="shared" si="1"/>
        <v>1.02</v>
      </c>
    </row>
    <row r="19" spans="1:8" x14ac:dyDescent="0.25">
      <c r="A19" t="s">
        <v>34</v>
      </c>
      <c r="B19" t="s">
        <v>53</v>
      </c>
      <c r="D19">
        <v>1</v>
      </c>
      <c r="E19" t="s">
        <v>37</v>
      </c>
      <c r="F19">
        <f t="shared" si="0"/>
        <v>50</v>
      </c>
      <c r="G19">
        <v>0.06</v>
      </c>
      <c r="H19">
        <f t="shared" si="1"/>
        <v>0.06</v>
      </c>
    </row>
    <row r="20" spans="1:8" x14ac:dyDescent="0.25">
      <c r="A20" t="s">
        <v>33</v>
      </c>
      <c r="B20" t="s">
        <v>53</v>
      </c>
      <c r="D20">
        <v>1</v>
      </c>
      <c r="E20" t="s">
        <v>36</v>
      </c>
      <c r="F20">
        <f t="shared" si="0"/>
        <v>50</v>
      </c>
      <c r="G20">
        <v>0.06</v>
      </c>
      <c r="H20">
        <f t="shared" si="1"/>
        <v>0.06</v>
      </c>
    </row>
    <row r="21" spans="1:8" s="3" customFormat="1" x14ac:dyDescent="0.25">
      <c r="A21" s="3" t="s">
        <v>60</v>
      </c>
      <c r="D21" s="3">
        <v>1</v>
      </c>
      <c r="F21" s="3">
        <f t="shared" si="0"/>
        <v>50</v>
      </c>
      <c r="G21" s="3">
        <v>0.5</v>
      </c>
      <c r="H21" s="3">
        <f t="shared" si="1"/>
        <v>0.5</v>
      </c>
    </row>
    <row r="22" spans="1:8" s="3" customFormat="1" x14ac:dyDescent="0.25">
      <c r="A22" s="3" t="s">
        <v>1</v>
      </c>
      <c r="D22" s="3">
        <v>1</v>
      </c>
      <c r="F22" s="3">
        <f t="shared" si="0"/>
        <v>50</v>
      </c>
      <c r="G22" s="3">
        <v>0.78</v>
      </c>
      <c r="H22" s="3">
        <f t="shared" si="1"/>
        <v>0.78</v>
      </c>
    </row>
    <row r="23" spans="1:8" s="3" customFormat="1" x14ac:dyDescent="0.25">
      <c r="A23" s="3" t="s">
        <v>0</v>
      </c>
      <c r="D23" s="3">
        <v>1</v>
      </c>
      <c r="F23" s="3">
        <f t="shared" si="0"/>
        <v>50</v>
      </c>
      <c r="G23" s="3">
        <v>1.08</v>
      </c>
      <c r="H23" s="3">
        <f t="shared" si="1"/>
        <v>1.08</v>
      </c>
    </row>
    <row r="24" spans="1:8" s="2" customFormat="1" x14ac:dyDescent="0.25">
      <c r="A24" s="2" t="s">
        <v>20</v>
      </c>
      <c r="B24" s="2" t="s">
        <v>21</v>
      </c>
      <c r="D24" s="2">
        <v>4</v>
      </c>
      <c r="E24" s="2" t="s">
        <v>22</v>
      </c>
      <c r="F24" s="2">
        <f t="shared" si="0"/>
        <v>200</v>
      </c>
      <c r="G24" s="2">
        <v>0.16</v>
      </c>
      <c r="H24" s="2">
        <f t="shared" si="1"/>
        <v>0.64</v>
      </c>
    </row>
    <row r="25" spans="1:8" x14ac:dyDescent="0.25">
      <c r="A25" t="s">
        <v>48</v>
      </c>
      <c r="B25" t="s">
        <v>45</v>
      </c>
      <c r="D25">
        <v>31</v>
      </c>
      <c r="E25" t="s">
        <v>6</v>
      </c>
      <c r="F25">
        <f t="shared" si="0"/>
        <v>1550</v>
      </c>
      <c r="G25">
        <v>0.01</v>
      </c>
      <c r="H25">
        <f t="shared" si="1"/>
        <v>0.31</v>
      </c>
    </row>
    <row r="26" spans="1:8" s="2" customFormat="1" x14ac:dyDescent="0.25">
      <c r="A26" s="2" t="s">
        <v>25</v>
      </c>
      <c r="B26" s="2" t="s">
        <v>45</v>
      </c>
      <c r="D26" s="2">
        <v>4</v>
      </c>
      <c r="E26" s="2" t="s">
        <v>26</v>
      </c>
      <c r="F26" s="2">
        <f t="shared" si="0"/>
        <v>200</v>
      </c>
      <c r="G26" s="2">
        <v>0.01</v>
      </c>
      <c r="H26" s="2">
        <f t="shared" si="1"/>
        <v>0.04</v>
      </c>
    </row>
    <row r="27" spans="1:8" s="2" customFormat="1" x14ac:dyDescent="0.25">
      <c r="A27" s="2" t="s">
        <v>16</v>
      </c>
      <c r="B27" s="2" t="s">
        <v>45</v>
      </c>
      <c r="D27" s="2">
        <v>1</v>
      </c>
      <c r="E27" s="2" t="s">
        <v>17</v>
      </c>
      <c r="F27" s="2">
        <f t="shared" si="0"/>
        <v>50</v>
      </c>
      <c r="G27" s="2">
        <v>0.01</v>
      </c>
      <c r="H27" s="2">
        <f t="shared" si="1"/>
        <v>0.01</v>
      </c>
    </row>
    <row r="28" spans="1:8" s="2" customFormat="1" x14ac:dyDescent="0.25">
      <c r="A28" s="2" t="s">
        <v>14</v>
      </c>
      <c r="B28" s="2" t="s">
        <v>45</v>
      </c>
      <c r="D28" s="2">
        <v>1</v>
      </c>
      <c r="E28" s="2" t="s">
        <v>15</v>
      </c>
      <c r="F28" s="2">
        <f t="shared" si="0"/>
        <v>50</v>
      </c>
      <c r="G28" s="2">
        <v>0.01</v>
      </c>
      <c r="H28" s="2">
        <f t="shared" si="1"/>
        <v>0.01</v>
      </c>
    </row>
    <row r="29" spans="1:8" s="2" customFormat="1" x14ac:dyDescent="0.25">
      <c r="A29" s="2" t="s">
        <v>28</v>
      </c>
      <c r="B29" s="2" t="s">
        <v>45</v>
      </c>
      <c r="D29" s="2">
        <v>1</v>
      </c>
      <c r="E29" s="2" t="s">
        <v>44</v>
      </c>
      <c r="F29" s="2">
        <f t="shared" si="0"/>
        <v>50</v>
      </c>
      <c r="G29" s="2">
        <v>0.01</v>
      </c>
      <c r="H29" s="2">
        <f t="shared" si="1"/>
        <v>0.01</v>
      </c>
    </row>
    <row r="30" spans="1:8" s="2" customFormat="1" x14ac:dyDescent="0.25">
      <c r="A30" s="2" t="s">
        <v>8</v>
      </c>
      <c r="B30" s="2" t="s">
        <v>45</v>
      </c>
      <c r="D30" s="2">
        <v>1</v>
      </c>
      <c r="E30" s="2" t="s">
        <v>9</v>
      </c>
      <c r="F30" s="2">
        <f t="shared" si="0"/>
        <v>50</v>
      </c>
      <c r="G30" s="2">
        <v>0.01</v>
      </c>
      <c r="H30" s="2">
        <f t="shared" si="1"/>
        <v>0.01</v>
      </c>
    </row>
    <row r="31" spans="1:8" s="2" customFormat="1" x14ac:dyDescent="0.25">
      <c r="A31" s="2" t="s">
        <v>46</v>
      </c>
      <c r="B31" s="2" t="s">
        <v>45</v>
      </c>
      <c r="D31" s="2">
        <v>1</v>
      </c>
      <c r="E31" s="2" t="s">
        <v>47</v>
      </c>
      <c r="F31" s="2">
        <f t="shared" si="0"/>
        <v>50</v>
      </c>
      <c r="G31" s="2">
        <v>0.01</v>
      </c>
      <c r="H31" s="2">
        <f t="shared" si="1"/>
        <v>0.01</v>
      </c>
    </row>
    <row r="32" spans="1:8" s="3" customFormat="1" x14ac:dyDescent="0.25">
      <c r="A32" s="3" t="s">
        <v>58</v>
      </c>
      <c r="B32" s="3" t="s">
        <v>67</v>
      </c>
      <c r="D32" s="3">
        <v>3</v>
      </c>
      <c r="E32" s="3" t="s">
        <v>11</v>
      </c>
      <c r="F32" s="3">
        <f t="shared" si="0"/>
        <v>150</v>
      </c>
      <c r="G32" s="3">
        <v>0.95</v>
      </c>
      <c r="H32" s="3">
        <f t="shared" si="1"/>
        <v>2.8499999999999996</v>
      </c>
    </row>
    <row r="33" spans="1:8" s="3" customFormat="1" x14ac:dyDescent="0.25">
      <c r="A33" s="3" t="s">
        <v>18</v>
      </c>
      <c r="B33" s="3" t="s">
        <v>66</v>
      </c>
      <c r="D33" s="3">
        <v>1</v>
      </c>
      <c r="E33" s="3" t="s">
        <v>19</v>
      </c>
      <c r="F33" s="3">
        <f t="shared" si="0"/>
        <v>50</v>
      </c>
      <c r="G33" s="3">
        <v>0.65</v>
      </c>
      <c r="H33" s="3">
        <f t="shared" si="1"/>
        <v>0.65</v>
      </c>
    </row>
    <row r="34" spans="1:8" s="3" customFormat="1" x14ac:dyDescent="0.25">
      <c r="A34" s="3" t="s">
        <v>83</v>
      </c>
      <c r="B34" s="3" t="s">
        <v>84</v>
      </c>
      <c r="D34" s="3">
        <v>6</v>
      </c>
      <c r="F34" s="3">
        <f t="shared" si="0"/>
        <v>300</v>
      </c>
      <c r="G34" s="3">
        <v>0.13</v>
      </c>
      <c r="H34" s="3">
        <f t="shared" si="1"/>
        <v>0.78</v>
      </c>
    </row>
    <row r="35" spans="1:8" s="3" customFormat="1" x14ac:dyDescent="0.25">
      <c r="H35" s="3">
        <f>SUM(H2:H34)</f>
        <v>27.410000000000004</v>
      </c>
    </row>
  </sheetData>
  <sortState xmlns:xlrd2="http://schemas.microsoft.com/office/spreadsheetml/2017/richdata2" ref="A2:G33">
    <sortCondition ref="A2:A33"/>
  </sortState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Hotchkiss</dc:creator>
  <cp:lastModifiedBy>Jason Hotchkiss</cp:lastModifiedBy>
  <dcterms:created xsi:type="dcterms:W3CDTF">2026-04-21T14:49:25Z</dcterms:created>
  <dcterms:modified xsi:type="dcterms:W3CDTF">2026-05-18T15:17:23Z</dcterms:modified>
</cp:coreProperties>
</file>