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cvocd.a\cvocd_banana\"/>
    </mc:Choice>
  </mc:AlternateContent>
  <xr:revisionPtr revIDLastSave="0" documentId="13_ncr:1_{E834540A-E505-4868-B935-A86EA82013BA}" xr6:coauthVersionLast="47" xr6:coauthVersionMax="47" xr10:uidLastSave="{00000000-0000-0000-0000-000000000000}"/>
  <bookViews>
    <workbookView xWindow="8670" yWindow="-135" windowWidth="20115" windowHeight="15330" xr2:uid="{2C8AAADC-D111-4438-BA7C-E72327EBC990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3" i="2" l="1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</calcChain>
</file>

<file path=xl/sharedStrings.xml><?xml version="1.0" encoding="utf-8"?>
<sst xmlns="http://schemas.openxmlformats.org/spreadsheetml/2006/main" count="97" uniqueCount="85">
  <si>
    <t>PUSH BUTTON</t>
  </si>
  <si>
    <t>POWER SOCKET</t>
  </si>
  <si>
    <t>Designator</t>
  </si>
  <si>
    <t>Footprint</t>
  </si>
  <si>
    <t>Quantity</t>
  </si>
  <si>
    <t>Designation</t>
  </si>
  <si>
    <t>R_0805_2012Metric</t>
  </si>
  <si>
    <t>1k</t>
  </si>
  <si>
    <t>100n</t>
  </si>
  <si>
    <t>R39</t>
  </si>
  <si>
    <t>3K3</t>
  </si>
  <si>
    <t>L1</t>
  </si>
  <si>
    <t>SW_SP3T</t>
  </si>
  <si>
    <t>IC5</t>
  </si>
  <si>
    <t>IC7</t>
  </si>
  <si>
    <t>R37</t>
  </si>
  <si>
    <t>2k</t>
  </si>
  <si>
    <t>R36</t>
  </si>
  <si>
    <t>22k</t>
  </si>
  <si>
    <t>SW4</t>
  </si>
  <si>
    <t>SW_SPDT</t>
  </si>
  <si>
    <t>Q2,Q1,Q4,Q3</t>
  </si>
  <si>
    <t>SOT-23</t>
  </si>
  <si>
    <t>2N7002</t>
  </si>
  <si>
    <t>IC6</t>
  </si>
  <si>
    <t>SOT-23-5</t>
  </si>
  <si>
    <t>R25,R27,R29,R31</t>
  </si>
  <si>
    <t>4k7</t>
  </si>
  <si>
    <t>L2</t>
  </si>
  <si>
    <t>R38</t>
  </si>
  <si>
    <t>IC4</t>
  </si>
  <si>
    <t>Banana Red</t>
  </si>
  <si>
    <t>Banana Blue</t>
  </si>
  <si>
    <t>Banana Black</t>
  </si>
  <si>
    <t>LSTATUS1</t>
  </si>
  <si>
    <t>LMIDI1</t>
  </si>
  <si>
    <t>LED RED</t>
  </si>
  <si>
    <t>LED YELLOW</t>
  </si>
  <si>
    <t>LED BLUE</t>
  </si>
  <si>
    <t>10n</t>
  </si>
  <si>
    <t>C0805</t>
  </si>
  <si>
    <t>C24, C25</t>
  </si>
  <si>
    <t>1uF</t>
  </si>
  <si>
    <t>TYS4012100M-10</t>
  </si>
  <si>
    <t>CM322522-1R0KL</t>
  </si>
  <si>
    <t>470R</t>
  </si>
  <si>
    <t>R0805</t>
  </si>
  <si>
    <t>R40</t>
  </si>
  <si>
    <t>10k</t>
  </si>
  <si>
    <t>R1, R2, R3, R4 R5, R6, R7, R8, R9, R10, R11, R12, R13, R14, R15, R16, R17, R18, R19, R20, R21, R22, R23, R24, R26, R28, R30, R32, R33, R34, R35</t>
  </si>
  <si>
    <t>C1, C2, C7, C8, C13, C14, C19, C20, C21, C27, C28</t>
  </si>
  <si>
    <t>MBR0520LT</t>
  </si>
  <si>
    <t>SOD123</t>
  </si>
  <si>
    <t>D0805</t>
  </si>
  <si>
    <t>3258 Reverse Mount</t>
  </si>
  <si>
    <t>GT1, GT2, GT3, GT4, GT5, GT6, GT7, GT8, GT9, GT10, GT11, GT12</t>
  </si>
  <si>
    <t>CVA, CVB, CVC, CVD</t>
  </si>
  <si>
    <t>GND</t>
  </si>
  <si>
    <t>IC3, IC1, IC2</t>
  </si>
  <si>
    <t>SW1, SW2, SW3</t>
  </si>
  <si>
    <t>SOT223</t>
  </si>
  <si>
    <t>MIDI SOCKET</t>
  </si>
  <si>
    <t>D5, D6, D7, D8, D9</t>
  </si>
  <si>
    <t>D1, D2, D3, D4</t>
  </si>
  <si>
    <t>LCV1, LCV2, LCV3, LCV4, LG1, LG2, LG3, LG4, LG5, LG6, LG7, LG8, LG9, LG10, LG11, LG12, LPOWER</t>
  </si>
  <si>
    <t>C22, C23, C26, C29</t>
  </si>
  <si>
    <t>C3, C4, C5, C6, C9, C10, C11, C12, C15, C16, C17, C18</t>
  </si>
  <si>
    <t>CL-SB-12B-01T</t>
  </si>
  <si>
    <t>CL-SB-13B-02T</t>
  </si>
  <si>
    <t>LM317MBSTT3G</t>
  </si>
  <si>
    <t>AP3012KTR-E1</t>
  </si>
  <si>
    <t>TLV76150DCYR</t>
  </si>
  <si>
    <t>LM324BIDR</t>
  </si>
  <si>
    <t>SOIC14</t>
  </si>
  <si>
    <t>MC14504BDR2G</t>
  </si>
  <si>
    <t>108-0902-001</t>
  </si>
  <si>
    <t>SOIC16</t>
  </si>
  <si>
    <t>108-0910-001</t>
  </si>
  <si>
    <t>108-0903-001</t>
  </si>
  <si>
    <t>BZY55B5V1 RBG</t>
  </si>
  <si>
    <t>TAJD107K020SNTV</t>
  </si>
  <si>
    <t>D CASE</t>
  </si>
  <si>
    <t>CL21B105KAFNNNG</t>
  </si>
  <si>
    <t>100uF</t>
  </si>
  <si>
    <t>SWITCH ELEC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</si>
</sst>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CA404-31BB-4D1D-8DCE-A1B2F31617CC}">
  <dimension ref="A1:G33"/>
  <sheetViews>
    <sheetView tabSelected="1" workbookViewId="0">
      <selection activeCell="B27" sqref="B27"/>
    </sheetView>
  </sheetViews>
  <sheetFormatPr defaultRowHeight="15" x14ac:dyDescent="0.25"/>
  <cols>
    <col min="1" max="1" width="58.5703125" customWidth="1"/>
    <col min="2" max="2" width="33.28515625" customWidth="1"/>
    <col min="3" max="3" width="11.140625" customWidth="1"/>
    <col min="5" max="5" width="33" customWidth="1"/>
    <col min="6" max="6" width="9.42578125" customWidth="1"/>
  </cols>
  <sheetData>
    <row r="1" spans="1:7" x14ac:dyDescent="0.25">
      <c r="A1" t="s">
        <v>2</v>
      </c>
      <c r="B1" t="s">
        <v>3</v>
      </c>
      <c r="D1" t="s">
        <v>4</v>
      </c>
      <c r="E1" t="s">
        <v>5</v>
      </c>
      <c r="F1" s="1">
        <v>50</v>
      </c>
    </row>
    <row r="2" spans="1:7" x14ac:dyDescent="0.25">
      <c r="A2" t="s">
        <v>50</v>
      </c>
      <c r="B2" t="s">
        <v>40</v>
      </c>
      <c r="C2" t="s">
        <v>8</v>
      </c>
      <c r="D2">
        <v>12</v>
      </c>
      <c r="E2" t="s">
        <v>8</v>
      </c>
      <c r="F2">
        <f>$F$1*D2</f>
        <v>600</v>
      </c>
    </row>
    <row r="3" spans="1:7" x14ac:dyDescent="0.25">
      <c r="A3" t="s">
        <v>65</v>
      </c>
      <c r="B3" t="s">
        <v>81</v>
      </c>
      <c r="C3" t="s">
        <v>83</v>
      </c>
      <c r="D3">
        <v>4</v>
      </c>
      <c r="E3" t="s">
        <v>80</v>
      </c>
      <c r="F3">
        <f t="shared" ref="F3:F33" si="0">$F$1*D3</f>
        <v>200</v>
      </c>
      <c r="G3">
        <v>0.43</v>
      </c>
    </row>
    <row r="4" spans="1:7" x14ac:dyDescent="0.25">
      <c r="A4" t="s">
        <v>41</v>
      </c>
      <c r="B4" t="s">
        <v>40</v>
      </c>
      <c r="C4" t="s">
        <v>42</v>
      </c>
      <c r="D4">
        <v>2</v>
      </c>
      <c r="E4" t="s">
        <v>82</v>
      </c>
      <c r="F4">
        <f t="shared" si="0"/>
        <v>100</v>
      </c>
      <c r="G4">
        <v>0.02</v>
      </c>
    </row>
    <row r="5" spans="1:7" x14ac:dyDescent="0.25">
      <c r="A5" t="s">
        <v>66</v>
      </c>
      <c r="B5" t="s">
        <v>40</v>
      </c>
      <c r="C5" t="s">
        <v>39</v>
      </c>
      <c r="D5">
        <v>12</v>
      </c>
      <c r="E5" t="s">
        <v>39</v>
      </c>
      <c r="F5">
        <f t="shared" si="0"/>
        <v>600</v>
      </c>
    </row>
    <row r="6" spans="1:7" x14ac:dyDescent="0.25">
      <c r="A6" t="s">
        <v>56</v>
      </c>
      <c r="B6" t="s">
        <v>77</v>
      </c>
      <c r="D6">
        <v>4</v>
      </c>
      <c r="E6" t="s">
        <v>32</v>
      </c>
      <c r="F6">
        <f t="shared" si="0"/>
        <v>200</v>
      </c>
      <c r="G6">
        <v>0.68</v>
      </c>
    </row>
    <row r="7" spans="1:7" x14ac:dyDescent="0.25">
      <c r="A7" t="s">
        <v>63</v>
      </c>
      <c r="B7" t="s">
        <v>53</v>
      </c>
      <c r="D7">
        <v>4</v>
      </c>
      <c r="E7" t="s">
        <v>79</v>
      </c>
      <c r="F7">
        <f t="shared" si="0"/>
        <v>200</v>
      </c>
      <c r="G7">
        <v>0.1</v>
      </c>
    </row>
    <row r="8" spans="1:7" x14ac:dyDescent="0.25">
      <c r="A8" t="s">
        <v>62</v>
      </c>
      <c r="B8" t="s">
        <v>52</v>
      </c>
      <c r="D8">
        <v>5</v>
      </c>
      <c r="E8" t="s">
        <v>51</v>
      </c>
      <c r="F8">
        <f t="shared" si="0"/>
        <v>250</v>
      </c>
      <c r="G8">
        <v>0.09</v>
      </c>
    </row>
    <row r="9" spans="1:7" x14ac:dyDescent="0.25">
      <c r="A9" t="s">
        <v>57</v>
      </c>
      <c r="B9" t="s">
        <v>78</v>
      </c>
      <c r="D9">
        <v>1</v>
      </c>
      <c r="E9" t="s">
        <v>33</v>
      </c>
      <c r="F9">
        <f t="shared" si="0"/>
        <v>50</v>
      </c>
      <c r="G9">
        <v>0.68</v>
      </c>
    </row>
    <row r="10" spans="1:7" x14ac:dyDescent="0.25">
      <c r="A10" t="s">
        <v>55</v>
      </c>
      <c r="B10" t="s">
        <v>75</v>
      </c>
      <c r="D10">
        <v>12</v>
      </c>
      <c r="E10" t="s">
        <v>31</v>
      </c>
      <c r="F10">
        <f t="shared" si="0"/>
        <v>600</v>
      </c>
      <c r="G10">
        <v>0.65</v>
      </c>
    </row>
    <row r="11" spans="1:7" x14ac:dyDescent="0.25">
      <c r="A11" t="s">
        <v>58</v>
      </c>
      <c r="B11" t="s">
        <v>76</v>
      </c>
      <c r="D11">
        <v>3</v>
      </c>
      <c r="E11" t="s">
        <v>74</v>
      </c>
      <c r="F11">
        <f t="shared" si="0"/>
        <v>150</v>
      </c>
      <c r="G11">
        <v>0.3</v>
      </c>
    </row>
    <row r="12" spans="1:7" x14ac:dyDescent="0.25">
      <c r="A12" t="s">
        <v>30</v>
      </c>
      <c r="B12" t="s">
        <v>73</v>
      </c>
      <c r="D12">
        <v>1</v>
      </c>
      <c r="E12" t="s">
        <v>72</v>
      </c>
      <c r="F12">
        <f t="shared" si="0"/>
        <v>50</v>
      </c>
      <c r="G12">
        <v>0.12</v>
      </c>
    </row>
    <row r="13" spans="1:7" x14ac:dyDescent="0.25">
      <c r="A13" t="s">
        <v>13</v>
      </c>
      <c r="B13" t="s">
        <v>60</v>
      </c>
      <c r="D13">
        <v>1</v>
      </c>
      <c r="E13" t="s">
        <v>71</v>
      </c>
      <c r="F13">
        <f t="shared" si="0"/>
        <v>50</v>
      </c>
      <c r="G13">
        <v>0.23</v>
      </c>
    </row>
    <row r="14" spans="1:7" x14ac:dyDescent="0.25">
      <c r="A14" t="s">
        <v>24</v>
      </c>
      <c r="B14" t="s">
        <v>25</v>
      </c>
      <c r="D14">
        <v>1</v>
      </c>
      <c r="E14" t="s">
        <v>70</v>
      </c>
      <c r="F14">
        <f t="shared" si="0"/>
        <v>50</v>
      </c>
      <c r="G14">
        <v>0.25</v>
      </c>
    </row>
    <row r="15" spans="1:7" x14ac:dyDescent="0.25">
      <c r="A15" t="s">
        <v>14</v>
      </c>
      <c r="B15" t="s">
        <v>60</v>
      </c>
      <c r="D15">
        <v>1</v>
      </c>
      <c r="E15" t="s">
        <v>69</v>
      </c>
      <c r="F15">
        <f t="shared" si="0"/>
        <v>50</v>
      </c>
      <c r="G15">
        <v>0.2</v>
      </c>
    </row>
    <row r="16" spans="1:7" x14ac:dyDescent="0.25">
      <c r="A16" t="s">
        <v>11</v>
      </c>
      <c r="D16">
        <v>1</v>
      </c>
      <c r="E16" t="s">
        <v>43</v>
      </c>
      <c r="F16">
        <f t="shared" si="0"/>
        <v>50</v>
      </c>
      <c r="G16">
        <v>0.28999999999999998</v>
      </c>
    </row>
    <row r="17" spans="1:7" x14ac:dyDescent="0.25">
      <c r="A17" t="s">
        <v>28</v>
      </c>
      <c r="D17">
        <v>1</v>
      </c>
      <c r="E17" t="s">
        <v>44</v>
      </c>
      <c r="F17">
        <f t="shared" si="0"/>
        <v>50</v>
      </c>
      <c r="G17">
        <v>0.15</v>
      </c>
    </row>
    <row r="18" spans="1:7" x14ac:dyDescent="0.25">
      <c r="A18" t="s">
        <v>64</v>
      </c>
      <c r="B18" t="s">
        <v>54</v>
      </c>
      <c r="D18">
        <v>17</v>
      </c>
      <c r="E18" t="s">
        <v>36</v>
      </c>
      <c r="F18">
        <f t="shared" si="0"/>
        <v>850</v>
      </c>
    </row>
    <row r="19" spans="1:7" x14ac:dyDescent="0.25">
      <c r="A19" t="s">
        <v>35</v>
      </c>
      <c r="B19" t="s">
        <v>54</v>
      </c>
      <c r="D19">
        <v>1</v>
      </c>
      <c r="E19" t="s">
        <v>38</v>
      </c>
      <c r="F19">
        <f t="shared" si="0"/>
        <v>50</v>
      </c>
    </row>
    <row r="20" spans="1:7" x14ac:dyDescent="0.25">
      <c r="A20" t="s">
        <v>34</v>
      </c>
      <c r="B20" t="s">
        <v>54</v>
      </c>
      <c r="D20">
        <v>1</v>
      </c>
      <c r="E20" t="s">
        <v>37</v>
      </c>
      <c r="F20">
        <f t="shared" si="0"/>
        <v>50</v>
      </c>
    </row>
    <row r="21" spans="1:7" x14ac:dyDescent="0.25">
      <c r="A21" t="s">
        <v>61</v>
      </c>
      <c r="D21">
        <v>1</v>
      </c>
      <c r="E21" t="s">
        <v>84</v>
      </c>
      <c r="F21">
        <f t="shared" si="0"/>
        <v>50</v>
      </c>
    </row>
    <row r="22" spans="1:7" x14ac:dyDescent="0.25">
      <c r="A22" t="s">
        <v>1</v>
      </c>
      <c r="D22">
        <v>1</v>
      </c>
      <c r="F22">
        <f t="shared" si="0"/>
        <v>50</v>
      </c>
    </row>
    <row r="23" spans="1:7" x14ac:dyDescent="0.25">
      <c r="A23" t="s">
        <v>0</v>
      </c>
      <c r="D23">
        <v>1</v>
      </c>
      <c r="F23">
        <f t="shared" si="0"/>
        <v>50</v>
      </c>
    </row>
    <row r="24" spans="1:7" x14ac:dyDescent="0.25">
      <c r="A24" t="s">
        <v>21</v>
      </c>
      <c r="B24" t="s">
        <v>22</v>
      </c>
      <c r="D24">
        <v>4</v>
      </c>
      <c r="E24" t="s">
        <v>23</v>
      </c>
      <c r="F24">
        <f t="shared" si="0"/>
        <v>200</v>
      </c>
      <c r="G24">
        <v>0.16</v>
      </c>
    </row>
    <row r="25" spans="1:7" x14ac:dyDescent="0.25">
      <c r="A25" t="s">
        <v>49</v>
      </c>
      <c r="B25" t="s">
        <v>46</v>
      </c>
      <c r="D25">
        <v>31</v>
      </c>
      <c r="E25" t="s">
        <v>7</v>
      </c>
      <c r="F25">
        <f t="shared" si="0"/>
        <v>1550</v>
      </c>
    </row>
    <row r="26" spans="1:7" x14ac:dyDescent="0.25">
      <c r="A26" t="s">
        <v>26</v>
      </c>
      <c r="B26" t="s">
        <v>46</v>
      </c>
      <c r="D26">
        <v>4</v>
      </c>
      <c r="E26" t="s">
        <v>27</v>
      </c>
      <c r="F26">
        <f t="shared" si="0"/>
        <v>200</v>
      </c>
    </row>
    <row r="27" spans="1:7" x14ac:dyDescent="0.25">
      <c r="A27" t="s">
        <v>17</v>
      </c>
      <c r="B27" t="s">
        <v>6</v>
      </c>
      <c r="D27">
        <v>1</v>
      </c>
      <c r="E27" t="s">
        <v>18</v>
      </c>
      <c r="F27">
        <f t="shared" si="0"/>
        <v>50</v>
      </c>
    </row>
    <row r="28" spans="1:7" x14ac:dyDescent="0.25">
      <c r="A28" t="s">
        <v>15</v>
      </c>
      <c r="B28" t="s">
        <v>46</v>
      </c>
      <c r="D28">
        <v>1</v>
      </c>
      <c r="E28" t="s">
        <v>16</v>
      </c>
      <c r="F28">
        <f t="shared" si="0"/>
        <v>50</v>
      </c>
    </row>
    <row r="29" spans="1:7" x14ac:dyDescent="0.25">
      <c r="A29" t="s">
        <v>29</v>
      </c>
      <c r="B29" t="s">
        <v>46</v>
      </c>
      <c r="D29">
        <v>1</v>
      </c>
      <c r="E29" t="s">
        <v>45</v>
      </c>
      <c r="F29">
        <f t="shared" si="0"/>
        <v>50</v>
      </c>
    </row>
    <row r="30" spans="1:7" x14ac:dyDescent="0.25">
      <c r="A30" t="s">
        <v>9</v>
      </c>
      <c r="B30" t="s">
        <v>46</v>
      </c>
      <c r="D30">
        <v>1</v>
      </c>
      <c r="E30" t="s">
        <v>10</v>
      </c>
      <c r="F30">
        <f t="shared" si="0"/>
        <v>50</v>
      </c>
    </row>
    <row r="31" spans="1:7" x14ac:dyDescent="0.25">
      <c r="A31" t="s">
        <v>47</v>
      </c>
      <c r="B31" t="s">
        <v>46</v>
      </c>
      <c r="D31">
        <v>1</v>
      </c>
      <c r="E31" t="s">
        <v>48</v>
      </c>
      <c r="F31">
        <f t="shared" si="0"/>
        <v>50</v>
      </c>
    </row>
    <row r="32" spans="1:7" x14ac:dyDescent="0.25">
      <c r="A32" t="s">
        <v>59</v>
      </c>
      <c r="B32" t="s">
        <v>68</v>
      </c>
      <c r="D32">
        <v>3</v>
      </c>
      <c r="E32" t="s">
        <v>12</v>
      </c>
      <c r="F32">
        <f t="shared" si="0"/>
        <v>150</v>
      </c>
      <c r="G32">
        <v>0.95</v>
      </c>
    </row>
    <row r="33" spans="1:7" x14ac:dyDescent="0.25">
      <c r="A33" t="s">
        <v>19</v>
      </c>
      <c r="B33" t="s">
        <v>67</v>
      </c>
      <c r="D33">
        <v>1</v>
      </c>
      <c r="E33" t="s">
        <v>20</v>
      </c>
      <c r="F33">
        <f t="shared" si="0"/>
        <v>50</v>
      </c>
      <c r="G33">
        <v>0.65</v>
      </c>
    </row>
  </sheetData>
  <sortState xmlns:xlrd2="http://schemas.microsoft.com/office/spreadsheetml/2017/richdata2" ref="A2:G33">
    <sortCondition ref="A2:A33"/>
  </sortState>
  <pageMargins left="0.7" right="0.7" top="0.75" bottom="0.75" header="0.3" footer="0.3"/>
  <pageSetup paperSize="0" orientation="portrait" horizontalDpi="203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Hotchkiss</dc:creator>
  <cp:lastModifiedBy>Jason Hotchkiss</cp:lastModifiedBy>
  <dcterms:created xsi:type="dcterms:W3CDTF">2026-04-21T14:49:25Z</dcterms:created>
  <dcterms:modified xsi:type="dcterms:W3CDTF">2026-04-22T11:52:22Z</dcterms:modified>
</cp:coreProperties>
</file>